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<sst xmlns="http://schemas.openxmlformats.org/spreadsheetml/2006/main" count="39" uniqueCount="37">
  <si>
    <t xml:space="preserve">Report Name: Production And Cost Report</t>
  </si>
  <si>
    <t xml:space="preserve">Filter</t>
  </si>
  <si>
    <t xml:space="preserve">from_date</t>
  </si>
  <si>
    <t xml:space="preserve">to_date</t>
  </si>
  <si>
    <t xml:space="preserve">Qty</t>
  </si>
  <si>
    <t xml:space="preserve">Amount</t>
  </si>
  <si>
    <t xml:space="preserve">Per Ton</t>
  </si>
  <si>
    <t xml:space="preserve">Finish Item Production </t>
  </si>
  <si>
    <t xml:space="preserve">total_finish_qty</t>
  </si>
  <si>
    <r>
      <rPr>
        <sz val="11"/>
        <color rgb="FF000000"/>
        <rFont val="Calibri"/>
        <family val="2"/>
        <charset val="1"/>
      </rPr>
      <t xml:space="preserve">cost_per_ton  * </t>
    </r>
    <r>
      <rPr>
        <sz val="11"/>
        <color rgb="FF000000"/>
        <rFont val="Calibri"/>
        <family val="2"/>
      </rPr>
      <t xml:space="preserve"> total_finish_qty </t>
    </r>
  </si>
  <si>
    <r>
      <rPr>
        <sz val="11"/>
        <color rgb="FF000000"/>
        <rFont val="Calibri"/>
        <family val="2"/>
        <charset val="1"/>
      </rPr>
      <t xml:space="preserve">(cost_per_ton  * </t>
    </r>
    <r>
      <rPr>
        <sz val="11"/>
        <color rgb="FF000000"/>
        <rFont val="Calibri"/>
        <family val="2"/>
      </rPr>
      <t xml:space="preserve"> total_finish_qty) /  total_finish_qty  </t>
    </r>
  </si>
  <si>
    <t xml:space="preserve">from “Rolling Entry” master fields</t>
  </si>
  <si>
    <t xml:space="preserve">Raw Material </t>
  </si>
  <si>
    <t xml:space="preserve">Billets Consumption </t>
  </si>
  <si>
    <t xml:space="preserve">total_issue_qty</t>
  </si>
  <si>
    <t xml:space="preserve">total_raw_material_amount</t>
  </si>
  <si>
    <r>
      <rPr>
        <sz val="11"/>
        <color rgb="FF000000"/>
        <rFont val="Calibri"/>
        <family val="2"/>
        <charset val="1"/>
      </rPr>
      <t xml:space="preserve">total_raw_material_amount / </t>
    </r>
    <r>
      <rPr>
        <sz val="11"/>
        <color rgb="FF000000"/>
        <rFont val="Calibri"/>
        <family val="2"/>
      </rPr>
      <t xml:space="preserve"> total_issue_qty </t>
    </r>
  </si>
  <si>
    <t xml:space="preserve">From “Rolling Entry  master fields”</t>
  </si>
  <si>
    <t xml:space="preserve">Scrap item</t>
  </si>
  <si>
    <t xml:space="preserve">total_input_weight</t>
  </si>
  <si>
    <t xml:space="preserve">total_input_amount</t>
  </si>
  <si>
    <r>
      <rPr>
        <sz val="11"/>
        <color rgb="FF000000"/>
        <rFont val="Calibri"/>
        <family val="2"/>
        <charset val="1"/>
      </rPr>
      <t xml:space="preserve">total_input_amount / </t>
    </r>
    <r>
      <rPr>
        <sz val="11"/>
        <color rgb="FF000000"/>
        <rFont val="Calibri"/>
        <family val="2"/>
      </rPr>
      <t xml:space="preserve"> total_input_weight </t>
    </r>
  </si>
  <si>
    <t xml:space="preserve">From “Melting Entry master fields”</t>
  </si>
  <si>
    <t xml:space="preserve">Expenses</t>
  </si>
  <si>
    <t xml:space="preserve">Direct Expense</t>
  </si>
  <si>
    <t xml:space="preserve">            Accounts</t>
  </si>
  <si>
    <t xml:space="preserve">In Direct Expense</t>
  </si>
  <si>
    <t xml:space="preserve">            Accounts </t>
  </si>
  <si>
    <t xml:space="preserve">Total Expense</t>
  </si>
  <si>
    <t xml:space="preserve">Per Ton COST</t>
  </si>
  <si>
    <t xml:space="preserve">((cost_per_ton  *  total_finish_qty) /  total_finish_qty  ) + D12 + D14</t>
  </si>
  <si>
    <t xml:space="preserve">Sale Invoice (submitted)</t>
  </si>
  <si>
    <t xml:space="preserve">Rate</t>
  </si>
  <si>
    <t xml:space="preserve">Margin</t>
  </si>
  <si>
    <t xml:space="preserve">Margin %</t>
  </si>
  <si>
    <r>
      <rPr>
        <sz val="11"/>
        <color rgb="FF000000"/>
        <rFont val="Calibri"/>
        <family val="2"/>
        <charset val="1"/>
      </rPr>
      <t xml:space="preserve">((Rate - </t>
    </r>
    <r>
      <rPr>
        <sz val="11"/>
        <color rgb="FF000000"/>
        <rFont val="Calibri"/>
        <family val="2"/>
      </rPr>
      <t xml:space="preserve"> Per Ton COST )/100)*100</t>
    </r>
  </si>
  <si>
    <t xml:space="preserve">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</si>
</sst>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33.19"/>
    <col collapsed="false" customWidth="true" hidden="false" outlineLevel="0" max="2" min="2" style="0" width="17.89"/>
    <col collapsed="false" customWidth="true" hidden="false" outlineLevel="0" max="3" min="3" style="0" width="26.79"/>
    <col collapsed="false" customWidth="true" hidden="false" outlineLevel="0" max="4" min="4" style="0" width="65.49"/>
    <col collapsed="false" customWidth="true" hidden="false" outlineLevel="0" max="5" min="5" style="0" width="34.66"/>
    <col collapsed="false" customWidth="true" hidden="false" outlineLevel="0" max="7" min="7" style="0" width="9.14"/>
    <col collapsed="false" customWidth="true" hidden="false" outlineLevel="0" max="8" min="8" style="0" width="12.9"/>
  </cols>
  <sheetData>
    <row r="1" customFormat="false" ht="14.25" hidden="false" customHeight="false" outlineLevel="0" collapsed="false"/>
    <row r="2" customFormat="false" ht="21" hidden="false" customHeight="false" outlineLevel="0" collapsed="false">
      <c r="A2" s="1" t="s">
        <v>0</v>
      </c>
      <c r="B2" s="1"/>
      <c r="C2" s="1"/>
      <c r="D2" s="1"/>
    </row>
    <row r="3" customFormat="false" ht="21" hidden="false" customHeight="false" outlineLevel="0" collapsed="false">
      <c r="A3" s="1" t="s">
        <v>1</v>
      </c>
      <c r="B3" s="1" t="s">
        <v>2</v>
      </c>
      <c r="C3" s="1"/>
      <c r="D3" s="1" t="s">
        <v>3</v>
      </c>
    </row>
    <row r="4" customFormat="false" ht="14.25" hidden="false" customHeight="false" outlineLevel="0" collapsed="false">
      <c r="A4" s="2"/>
      <c r="B4" s="2" t="s">
        <v>4</v>
      </c>
      <c r="C4" s="2" t="s">
        <v>5</v>
      </c>
      <c r="D4" s="2" t="s">
        <v>6</v>
      </c>
      <c r="F4" s="2"/>
    </row>
    <row r="5" customFormat="false" ht="14.9" hidden="false" customHeight="false" outlineLevel="0" collapsed="false">
      <c r="A5" s="3" t="s">
        <v>7</v>
      </c>
      <c r="B5" s="2" t="s">
        <v>8</v>
      </c>
      <c r="C5" s="2" t="s">
        <v>9</v>
      </c>
      <c r="D5" s="2" t="s">
        <v>10</v>
      </c>
      <c r="E5" s="0" t="s">
        <v>11</v>
      </c>
    </row>
    <row r="6" customFormat="false" ht="14.25" hidden="false" customHeight="false" outlineLevel="0" collapsed="false">
      <c r="A6" s="4"/>
      <c r="B6" s="4"/>
      <c r="C6" s="4"/>
      <c r="D6" s="4"/>
    </row>
    <row r="7" customFormat="false" ht="14.25" hidden="false" customHeight="false" outlineLevel="0" collapsed="false">
      <c r="A7" s="3" t="s">
        <v>12</v>
      </c>
      <c r="B7" s="2"/>
      <c r="C7" s="2"/>
      <c r="D7" s="2"/>
    </row>
    <row r="8" customFormat="false" ht="14.9" hidden="false" customHeight="false" outlineLevel="0" collapsed="false">
      <c r="A8" s="2" t="s">
        <v>13</v>
      </c>
      <c r="B8" s="2" t="s">
        <v>14</v>
      </c>
      <c r="C8" s="2" t="s">
        <v>15</v>
      </c>
      <c r="D8" s="2" t="s">
        <v>16</v>
      </c>
      <c r="E8" s="0" t="s">
        <v>17</v>
      </c>
    </row>
    <row r="9" customFormat="false" ht="14.9" hidden="false" customHeight="false" outlineLevel="0" collapsed="false">
      <c r="A9" s="2" t="s">
        <v>18</v>
      </c>
      <c r="B9" s="2" t="s">
        <v>19</v>
      </c>
      <c r="C9" s="2" t="s">
        <v>20</v>
      </c>
      <c r="D9" s="2" t="s">
        <v>21</v>
      </c>
      <c r="E9" s="0" t="s">
        <v>22</v>
      </c>
    </row>
    <row r="10" customFormat="false" ht="13.8" hidden="false" customHeight="false" outlineLevel="0" collapsed="false">
      <c r="A10" s="3" t="s">
        <v>23</v>
      </c>
      <c r="B10" s="4"/>
      <c r="C10" s="4"/>
      <c r="D10" s="4"/>
    </row>
    <row r="11" customFormat="false" ht="14.25" hidden="false" customHeight="false" outlineLevel="0" collapsed="false">
      <c r="A11" s="4" t="s">
        <v>24</v>
      </c>
      <c r="B11" s="4"/>
      <c r="C11" s="4"/>
      <c r="D11" s="4"/>
    </row>
    <row r="12" customFormat="false" ht="14.25" hidden="false" customHeight="false" outlineLevel="0" collapsed="false">
      <c r="A12" s="2" t="s">
        <v>25</v>
      </c>
      <c r="B12" s="2"/>
      <c r="C12" s="2" t="n">
        <v>1000</v>
      </c>
      <c r="D12" s="2" t="e">
        <f aca="false">C12/ total_finish_qty</f>
        <v>#NAME?</v>
      </c>
    </row>
    <row r="13" customFormat="false" ht="13.8" hidden="false" customHeight="false" outlineLevel="0" collapsed="false">
      <c r="A13" s="2" t="s">
        <v>26</v>
      </c>
      <c r="B13" s="2"/>
      <c r="C13" s="2"/>
      <c r="D13" s="2"/>
      <c r="E13" s="2"/>
    </row>
    <row r="14" customFormat="false" ht="13.8" hidden="false" customHeight="false" outlineLevel="0" collapsed="false">
      <c r="A14" s="2" t="s">
        <v>27</v>
      </c>
      <c r="B14" s="2"/>
      <c r="C14" s="2" t="n">
        <v>1000</v>
      </c>
      <c r="D14" s="2" t="e">
        <f aca="false">C14/ total_finish_qty</f>
        <v>#NAME?</v>
      </c>
    </row>
    <row r="15" customFormat="false" ht="13.8" hidden="false" customHeight="false" outlineLevel="0" collapsed="false">
      <c r="A15" s="3" t="s">
        <v>28</v>
      </c>
      <c r="B15" s="2"/>
      <c r="C15" s="2" t="n">
        <f aca="false">SUM(C7:C14)</f>
        <v>2000</v>
      </c>
      <c r="D15" s="2"/>
    </row>
    <row r="16" customFormat="false" ht="14.9" hidden="false" customHeight="false" outlineLevel="0" collapsed="false">
      <c r="A16" s="5" t="s">
        <v>29</v>
      </c>
      <c r="B16" s="6"/>
      <c r="C16" s="6"/>
      <c r="D16" s="6" t="s">
        <v>30</v>
      </c>
    </row>
    <row r="17" customFormat="false" ht="13.8" hidden="false" customHeight="false" outlineLevel="0" collapsed="false">
      <c r="A17" s="2" t="s">
        <v>31</v>
      </c>
      <c r="B17" s="2" t="s">
        <v>4</v>
      </c>
      <c r="C17" s="2" t="s">
        <v>5</v>
      </c>
      <c r="D17" s="2" t="s">
        <v>32</v>
      </c>
    </row>
    <row r="18" customFormat="false" ht="13.8" hidden="false" customHeight="false" outlineLevel="0" collapsed="false">
      <c r="A18" s="7"/>
      <c r="B18" s="2" t="n">
        <v>1000</v>
      </c>
      <c r="C18" s="2" t="n">
        <v>2000000</v>
      </c>
      <c r="D18" s="2" t="n">
        <f aca="false">C18/B18</f>
        <v>2000</v>
      </c>
    </row>
    <row r="19" customFormat="false" ht="13.8" hidden="false" customHeight="false" outlineLevel="0" collapsed="false">
      <c r="A19" s="3" t="s">
        <v>33</v>
      </c>
      <c r="D19" s="8" t="e">
        <f aca="false">D18 - D16</f>
        <v>#VALUE!</v>
      </c>
    </row>
    <row r="20" customFormat="false" ht="14.9" hidden="false" customHeight="false" outlineLevel="0" collapsed="false">
      <c r="A20" s="3" t="s">
        <v>34</v>
      </c>
      <c r="D20" s="9" t="s">
        <v>35</v>
      </c>
      <c r="F20" s="0" t="s">
        <v>36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2026-09-15T15:10:11Z</dcterms:created>
  <dc:creator>FM</dc:creator>
  <dc:description/>
  <dc:language>en-US</dc:language>
  <cp:lastModifiedBy/>
  <dcterms:modified xsi:type="dcterms:W3CDTF">2026-09-16T17:40:34Z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